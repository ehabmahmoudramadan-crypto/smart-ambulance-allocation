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 tabRatio="500"/>
  </bookViews>
  <sheets>
    <sheet name="VAM Sol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<sst xmlns="http://schemas.openxmlformats.org/spreadsheetml/2006/main" count="78" uniqueCount="63">
  <si>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Smart Ambulance Allocation System - VAM Solution Sheet</t>
  </si>
  <si>
    <t>1. Input Data: Estimated Travel Time Matrix (minutes), Station Supply &amp; Area Demand</t>
  </si>
  <si>
    <t>Station / Area</t>
  </si>
  <si>
    <t>Area 1 (A1)</t>
  </si>
  <si>
    <t>Area 2 (A2)</t>
  </si>
  <si>
    <t>Area 3 (A3)</t>
  </si>
  <si>
    <t>Area 4 (A4)</t>
  </si>
  <si>
    <t>Area 5 (A5)</t>
  </si>
  <si>
    <t>Supply</t>
  </si>
  <si>
    <t>Station 1 (S1)</t>
  </si>
  <si>
    <t>Station 2 (S2)</t>
  </si>
  <si>
    <t>Station 3 (S3)</t>
  </si>
  <si>
    <t>Station 4 (S4)</t>
  </si>
  <si>
    <t>Demand</t>
  </si>
  <si>
    <t>Total Supply = Total Demand = 30</t>
  </si>
  <si>
    <t>2. Step-by-Step VAM Allocation Sequence</t>
  </si>
  <si>
    <t>Step</t>
  </si>
  <si>
    <t>Selected Row/Col</t>
  </si>
  <si>
    <t>Max Penalty</t>
  </si>
  <si>
    <t>Chosen Cell</t>
  </si>
  <si>
    <t>Unit Cost (min)</t>
  </si>
  <si>
    <t>Allocated Quantity</t>
  </si>
  <si>
    <t>Action Taken</t>
  </si>
  <si>
    <t>Row S3</t>
  </si>
  <si>
    <t>S3 -&gt; A5</t>
  </si>
  <si>
    <t>Area A5 Demand (6) satisfied -&gt; Column A5 removed</t>
  </si>
  <si>
    <t>Row S2</t>
  </si>
  <si>
    <t>S2 -&gt; A4</t>
  </si>
  <si>
    <t>Station S2 Supply (6) &amp; Area A4 Demand (6) exhausted -&gt; S2 &amp; A4 removed</t>
  </si>
  <si>
    <t>Row S1</t>
  </si>
  <si>
    <t>S1 -&gt; A1</t>
  </si>
  <si>
    <t>Area A1 Demand (5) satisfied -&gt; Column A1 removed (S1 remaining supply = 3)</t>
  </si>
  <si>
    <t>Row S4</t>
  </si>
  <si>
    <t>S4 -&gt; A3</t>
  </si>
  <si>
    <t>Area A3 Demand (6) satisfied -&gt; Column A3 removed (S4 remaining supply = 3)</t>
  </si>
  <si>
    <t>Remaining S1</t>
  </si>
  <si>
    <t>-</t>
  </si>
  <si>
    <t>S1 -&gt; A2</t>
  </si>
  <si>
    <t>Station S1 remaining supply (3) allocated to Area A2</t>
  </si>
  <si>
    <t>Remaining S3</t>
  </si>
  <si>
    <t>S3 -&gt; A2</t>
  </si>
  <si>
    <t>Station S3 remaining supply (1) allocated to Area A2</t>
  </si>
  <si>
    <t>Remaining S4</t>
  </si>
  <si>
    <t>S4 -&gt; A2</t>
  </si>
  <si>
    <t>Station S4 remaining supply (3) allocated to Area A2</t>
  </si>
  <si>
    <t>3. Final VAM Allocation Matrix &amp; Total Cost Calculation</t>
  </si>
  <si>
    <t>A1</t>
  </si>
  <si>
    <t>A2</t>
  </si>
  <si>
    <t>A3</t>
  </si>
  <si>
    <t>A4</t>
  </si>
  <si>
    <t>A5</t>
  </si>
  <si>
    <t>Total Allocated</t>
  </si>
  <si>
    <t>Station Supply</t>
  </si>
  <si>
    <t>Area Demand</t>
  </si>
  <si>
    <t>4. Detailed Cost Breakdown (Allocated Quantity × Unit Cost in Minutes)</t>
  </si>
  <si>
    <t>Route</t>
  </si>
  <si>
    <t>Allocated Ambulances (x_ij)</t>
  </si>
  <si>
    <t>Unit Cost (minutes)</t>
  </si>
  <si>
    <t>Total Route Cost (minutes × ambulances)</t>
  </si>
  <si>
    <t>Total Allocated Ambulances</t>
  </si>
  <si>
    <t>Total Initial Cost Z (VAM)</t>
  </si>
  <si>
    <t>Baseline Allocation Cost</t>
  </si>
  <si>
    <t>Initial Savings by VAM Algorithm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</si>
</sst>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charset val="134"/>
    </font>
    <font>
      <b/>
      <sz val="16"/>
      <color rgb="FF1F4E79"/>
      <name val="Calibri"/>
      <charset val="134"/>
    </font>
    <font>
      <b/>
      <sz val="13"/>
      <color rgb="FF1F4E79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b/>
      <sz val="11"/>
      <color rgb="FF1F4E79"/>
      <name val="Calibri"/>
      <charset val="134"/>
    </font>
    <font>
      <b/>
      <sz val="11"/>
      <color rgb="FF375623"/>
      <name val="Calibri"/>
      <charset val="134"/>
    </font>
    <font>
      <b/>
      <sz val="12"/>
      <color rgb="FF375623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theme="3" tint="0.8"/>
        <bgColor rgb="FFD9E1F2"/>
      </patternFill>
    </fill>
    <fill>
      <patternFill patternType="solid">
        <fgColor theme="3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8" fillId="6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D9E1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zoomScale="85" zoomScaleNormal="85" topLeftCell="A13" workbookViewId="0">
      <selection activeCell="G29" sqref="G29"/>
    </sheetView>
  </sheetViews>
  <sheetFormatPr defaultColWidth="9" defaultRowHeight="14.4" outlineLevelCol="7"/>
  <cols>
    <col min="1" max="1" width="28" customWidth="1"/>
    <col min="2" max="2" width="31.2314814814815" customWidth="1"/>
    <col min="3" max="3" width="23" customWidth="1"/>
    <col min="4" max="4" width="36.6111111111111" customWidth="1"/>
    <col min="5" max="5" width="19" customWidth="1"/>
    <col min="6" max="6" width="22" customWidth="1"/>
    <col min="7" max="7" width="32" customWidth="1"/>
    <col min="8" max="8" width="18" customWidth="1"/>
  </cols>
  <sheetData>
    <row r="1" ht="21" customHeight="1" spans="1:7">
      <c r="A1" s="1" t="s">
        <v>0</v>
      </c>
      <c r="B1" s="1"/>
      <c r="C1" s="1"/>
      <c r="D1" s="1"/>
      <c r="E1" s="1"/>
      <c r="F1" s="1"/>
      <c r="G1" s="1"/>
    </row>
    <row r="3" ht="17.25" customHeight="1" spans="1:7">
      <c r="A3" s="2" t="s">
        <v>1</v>
      </c>
    </row>
    <row r="4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>
      <c r="A5" s="4" t="s">
        <v>9</v>
      </c>
      <c r="B5" s="5">
        <v>24</v>
      </c>
      <c r="C5" s="5">
        <v>45</v>
      </c>
      <c r="D5" s="5">
        <v>37</v>
      </c>
      <c r="E5" s="5">
        <v>18</v>
      </c>
      <c r="F5" s="5">
        <v>19</v>
      </c>
      <c r="G5" s="4">
        <v>8</v>
      </c>
    </row>
    <row r="6" spans="1:7">
      <c r="A6" s="4" t="s">
        <v>10</v>
      </c>
      <c r="B6" s="5">
        <v>28</v>
      </c>
      <c r="C6" s="5">
        <v>36</v>
      </c>
      <c r="D6" s="5">
        <v>37</v>
      </c>
      <c r="E6" s="5">
        <v>13</v>
      </c>
      <c r="F6" s="5">
        <v>23</v>
      </c>
      <c r="G6" s="4">
        <v>6</v>
      </c>
    </row>
    <row r="7" spans="1:7">
      <c r="A7" s="4" t="s">
        <v>11</v>
      </c>
      <c r="B7" s="5">
        <v>45</v>
      </c>
      <c r="C7" s="5">
        <v>39</v>
      </c>
      <c r="D7" s="5">
        <v>31</v>
      </c>
      <c r="E7" s="5">
        <v>42</v>
      </c>
      <c r="F7" s="5">
        <v>15</v>
      </c>
      <c r="G7" s="4">
        <v>7</v>
      </c>
    </row>
    <row r="8" spans="1:7">
      <c r="A8" s="4" t="s">
        <v>12</v>
      </c>
      <c r="B8" s="5">
        <v>26</v>
      </c>
      <c r="C8" s="5">
        <v>42</v>
      </c>
      <c r="D8" s="5">
        <v>19</v>
      </c>
      <c r="E8" s="5">
        <v>19</v>
      </c>
      <c r="F8" s="5">
        <v>18</v>
      </c>
      <c r="G8" s="4">
        <v>9</v>
      </c>
    </row>
    <row r="9" spans="1:7">
      <c r="A9" s="6" t="s">
        <v>13</v>
      </c>
      <c r="B9" s="6">
        <v>5</v>
      </c>
      <c r="C9" s="6">
        <v>7</v>
      </c>
      <c r="D9" s="6">
        <v>6</v>
      </c>
      <c r="E9" s="6">
        <v>6</v>
      </c>
      <c r="F9" s="6">
        <v>6</v>
      </c>
      <c r="G9" s="7" t="s">
        <v>14</v>
      </c>
    </row>
    <row r="11" ht="17.25" customHeight="1" spans="1:7">
      <c r="A11" s="2" t="s">
        <v>15</v>
      </c>
    </row>
    <row r="12" spans="1:7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</row>
    <row r="13" spans="1:7">
      <c r="A13" s="5">
        <v>1</v>
      </c>
      <c r="B13" s="5" t="s">
        <v>23</v>
      </c>
      <c r="C13" s="5">
        <v>16</v>
      </c>
      <c r="D13" s="5" t="s">
        <v>24</v>
      </c>
      <c r="E13" s="5">
        <v>15</v>
      </c>
      <c r="F13" s="5">
        <v>6</v>
      </c>
      <c r="G13" s="8" t="s">
        <v>25</v>
      </c>
    </row>
    <row r="14" spans="1:7">
      <c r="A14" s="5">
        <v>2</v>
      </c>
      <c r="B14" s="5" t="s">
        <v>26</v>
      </c>
      <c r="C14" s="5">
        <v>15</v>
      </c>
      <c r="D14" s="5" t="s">
        <v>27</v>
      </c>
      <c r="E14" s="5">
        <v>13</v>
      </c>
      <c r="F14" s="5">
        <v>6</v>
      </c>
      <c r="G14" s="8" t="s">
        <v>28</v>
      </c>
    </row>
    <row r="15" spans="1:7">
      <c r="A15" s="5">
        <v>3</v>
      </c>
      <c r="B15" s="5" t="s">
        <v>29</v>
      </c>
      <c r="C15" s="5">
        <v>13</v>
      </c>
      <c r="D15" s="5" t="s">
        <v>30</v>
      </c>
      <c r="E15" s="5">
        <v>24</v>
      </c>
      <c r="F15" s="5">
        <v>5</v>
      </c>
      <c r="G15" s="8" t="s">
        <v>31</v>
      </c>
    </row>
    <row r="16" spans="1:7">
      <c r="A16" s="5">
        <v>4</v>
      </c>
      <c r="B16" s="5" t="s">
        <v>32</v>
      </c>
      <c r="C16" s="5">
        <v>23</v>
      </c>
      <c r="D16" s="5" t="s">
        <v>33</v>
      </c>
      <c r="E16" s="5">
        <v>19</v>
      </c>
      <c r="F16" s="5">
        <v>6</v>
      </c>
      <c r="G16" s="8" t="s">
        <v>34</v>
      </c>
    </row>
    <row r="17" spans="1:8">
      <c r="A17" s="5">
        <v>5</v>
      </c>
      <c r="B17" s="5" t="s">
        <v>35</v>
      </c>
      <c r="C17" s="5" t="s">
        <v>36</v>
      </c>
      <c r="D17" s="5" t="s">
        <v>37</v>
      </c>
      <c r="E17" s="5">
        <v>45</v>
      </c>
      <c r="F17" s="5">
        <v>3</v>
      </c>
      <c r="G17" s="8" t="s">
        <v>38</v>
      </c>
    </row>
    <row r="18" spans="1:8">
      <c r="A18" s="5">
        <v>6</v>
      </c>
      <c r="B18" s="5" t="s">
        <v>39</v>
      </c>
      <c r="C18" s="5" t="s">
        <v>36</v>
      </c>
      <c r="D18" s="5" t="s">
        <v>40</v>
      </c>
      <c r="E18" s="5">
        <v>39</v>
      </c>
      <c r="F18" s="5">
        <v>1</v>
      </c>
      <c r="G18" s="8" t="s">
        <v>41</v>
      </c>
    </row>
    <row r="19" spans="1:8">
      <c r="A19" s="5">
        <v>7</v>
      </c>
      <c r="B19" s="5" t="s">
        <v>42</v>
      </c>
      <c r="C19" s="5" t="s">
        <v>36</v>
      </c>
      <c r="D19" s="5" t="s">
        <v>43</v>
      </c>
      <c r="E19" s="5">
        <v>42</v>
      </c>
      <c r="F19" s="5">
        <v>3</v>
      </c>
      <c r="G19" s="8" t="s">
        <v>44</v>
      </c>
    </row>
    <row r="21" ht="17.25" customHeight="1" spans="1:8">
      <c r="A21" s="2" t="s">
        <v>45</v>
      </c>
    </row>
    <row r="22" spans="1:8">
      <c r="A22" s="3" t="s">
        <v>2</v>
      </c>
      <c r="B22" s="3" t="s">
        <v>46</v>
      </c>
      <c r="C22" s="3" t="s">
        <v>47</v>
      </c>
      <c r="D22" s="3" t="s">
        <v>48</v>
      </c>
      <c r="E22" s="3" t="s">
        <v>49</v>
      </c>
      <c r="F22" s="3" t="s">
        <v>50</v>
      </c>
      <c r="G22" s="3" t="s">
        <v>51</v>
      </c>
      <c r="H22" s="3" t="s">
        <v>52</v>
      </c>
    </row>
    <row r="23" spans="1:8">
      <c r="A23" s="4" t="s">
        <v>9</v>
      </c>
      <c r="B23" s="9">
        <v>5</v>
      </c>
      <c r="C23" s="9">
        <v>3</v>
      </c>
      <c r="D23" s="5">
        <v>0</v>
      </c>
      <c r="E23" s="5">
        <v>0</v>
      </c>
      <c r="F23" s="5">
        <v>0</v>
      </c>
      <c r="G23" s="4">
        <f>SUM(B23:F23)</f>
        <v>8</v>
      </c>
      <c r="H23" s="4">
        <v>8</v>
      </c>
    </row>
    <row r="24" spans="1:8">
      <c r="A24" s="4" t="s">
        <v>10</v>
      </c>
      <c r="B24" s="5">
        <v>0</v>
      </c>
      <c r="C24" s="5">
        <v>0</v>
      </c>
      <c r="D24" s="5">
        <v>0</v>
      </c>
      <c r="E24" s="9">
        <v>6</v>
      </c>
      <c r="F24" s="5">
        <v>0</v>
      </c>
      <c r="G24" s="4">
        <f>SUM(B24:F24)</f>
        <v>6</v>
      </c>
      <c r="H24" s="4">
        <v>6</v>
      </c>
    </row>
    <row r="25" spans="1:8">
      <c r="A25" s="4" t="s">
        <v>11</v>
      </c>
      <c r="B25" s="5">
        <v>0</v>
      </c>
      <c r="C25" s="9">
        <v>1</v>
      </c>
      <c r="D25" s="5">
        <v>0</v>
      </c>
      <c r="E25" s="5">
        <v>0</v>
      </c>
      <c r="F25" s="9">
        <v>6</v>
      </c>
      <c r="G25" s="4">
        <f>SUM(B25:F25)</f>
        <v>7</v>
      </c>
      <c r="H25" s="4">
        <v>7</v>
      </c>
    </row>
    <row r="26" spans="1:8">
      <c r="A26" s="4" t="s">
        <v>12</v>
      </c>
      <c r="B26" s="5">
        <v>0</v>
      </c>
      <c r="C26" s="9">
        <v>3</v>
      </c>
      <c r="D26" s="9">
        <v>6</v>
      </c>
      <c r="E26" s="5">
        <v>0</v>
      </c>
      <c r="F26" s="5">
        <v>0</v>
      </c>
      <c r="G26" s="4">
        <f>SUM(B26:F26)</f>
        <v>9</v>
      </c>
      <c r="H26" s="4">
        <v>9</v>
      </c>
    </row>
    <row r="27" spans="1:8">
      <c r="A27" s="6" t="s">
        <v>51</v>
      </c>
      <c r="B27" s="6">
        <f t="shared" ref="B27:H27" si="0">SUM(B23:B26)</f>
        <v>5</v>
      </c>
      <c r="C27" s="6">
        <f t="shared" si="0"/>
        <v>7</v>
      </c>
      <c r="D27" s="6">
        <f t="shared" si="0"/>
        <v>6</v>
      </c>
      <c r="E27" s="6">
        <f t="shared" si="0"/>
        <v>6</v>
      </c>
      <c r="F27" s="6">
        <f t="shared" si="0"/>
        <v>6</v>
      </c>
      <c r="G27" s="6">
        <f t="shared" si="0"/>
        <v>30</v>
      </c>
      <c r="H27" s="6">
        <f t="shared" si="0"/>
        <v>30</v>
      </c>
    </row>
    <row r="28" spans="1:8">
      <c r="A28" s="4" t="s">
        <v>53</v>
      </c>
      <c r="B28" s="4">
        <v>5</v>
      </c>
      <c r="C28" s="4">
        <v>7</v>
      </c>
      <c r="D28" s="4">
        <v>6</v>
      </c>
      <c r="E28" s="4">
        <v>6</v>
      </c>
      <c r="F28" s="4">
        <v>6</v>
      </c>
      <c r="G28" s="4">
        <v>30</v>
      </c>
      <c r="H28" s="4">
        <v>30</v>
      </c>
    </row>
    <row r="30" ht="17.25" customHeight="1" spans="1:8">
      <c r="A30" s="2" t="s">
        <v>54</v>
      </c>
    </row>
    <row r="31" spans="1:8">
      <c r="A31" s="3" t="s">
        <v>55</v>
      </c>
      <c r="B31" s="3" t="s">
        <v>56</v>
      </c>
      <c r="C31" s="3" t="s">
        <v>57</v>
      </c>
      <c r="D31" s="3" t="s">
        <v>58</v>
      </c>
    </row>
    <row r="32" spans="1:8">
      <c r="A32" s="5" t="s">
        <v>30</v>
      </c>
      <c r="B32" s="5">
        <v>5</v>
      </c>
      <c r="C32" s="5">
        <v>24</v>
      </c>
      <c r="D32" s="5">
        <f t="shared" ref="D32:D38" si="1">B32*C32</f>
        <v>120</v>
      </c>
    </row>
    <row r="33" spans="1:4">
      <c r="A33" s="5" t="s">
        <v>37</v>
      </c>
      <c r="B33" s="5">
        <v>3</v>
      </c>
      <c r="C33" s="5">
        <v>45</v>
      </c>
      <c r="D33" s="5">
        <f t="shared" si="1"/>
        <v>135</v>
      </c>
    </row>
    <row r="34" spans="1:4">
      <c r="A34" s="5" t="s">
        <v>27</v>
      </c>
      <c r="B34" s="5">
        <v>6</v>
      </c>
      <c r="C34" s="5">
        <v>13</v>
      </c>
      <c r="D34" s="5">
        <f t="shared" si="1"/>
        <v>78</v>
      </c>
    </row>
    <row r="35" spans="1:4">
      <c r="A35" s="5" t="s">
        <v>40</v>
      </c>
      <c r="B35" s="5">
        <v>1</v>
      </c>
      <c r="C35" s="5">
        <v>39</v>
      </c>
      <c r="D35" s="5">
        <f t="shared" si="1"/>
        <v>39</v>
      </c>
    </row>
    <row r="36" spans="1:4">
      <c r="A36" s="5" t="s">
        <v>24</v>
      </c>
      <c r="B36" s="5">
        <v>6</v>
      </c>
      <c r="C36" s="5">
        <v>15</v>
      </c>
      <c r="D36" s="5">
        <f t="shared" si="1"/>
        <v>90</v>
      </c>
    </row>
    <row r="37" spans="1:4">
      <c r="A37" s="5" t="s">
        <v>43</v>
      </c>
      <c r="B37" s="5">
        <v>3</v>
      </c>
      <c r="C37" s="5">
        <v>42</v>
      </c>
      <c r="D37" s="5">
        <f t="shared" si="1"/>
        <v>126</v>
      </c>
    </row>
    <row r="38" spans="1:4">
      <c r="A38" s="5" t="s">
        <v>33</v>
      </c>
      <c r="B38" s="5">
        <v>6</v>
      </c>
      <c r="C38" s="5">
        <v>19</v>
      </c>
      <c r="D38" s="5">
        <f t="shared" si="1"/>
        <v>114</v>
      </c>
    </row>
    <row r="39" ht="15.75" customHeight="1" spans="1:4">
      <c r="A39" s="10" t="s">
        <v>59</v>
      </c>
      <c r="B39" s="10">
        <f>SUM(B32:B38)</f>
        <v>30</v>
      </c>
      <c r="C39" s="11"/>
      <c r="D39" s="12"/>
    </row>
    <row r="40" ht="15.75" customHeight="1" spans="1:4">
      <c r="A40" s="13"/>
      <c r="B40" s="13" t="s">
        <v>60</v>
      </c>
      <c r="C40" s="13"/>
      <c r="D40" s="14">
        <f>SUM(D32:D38)</f>
        <v>702</v>
      </c>
    </row>
    <row r="41" ht="15" customHeight="1" spans="1:4">
      <c r="A41" s="15" t="s">
        <v>61</v>
      </c>
      <c r="B41" s="15"/>
      <c r="C41" s="15"/>
      <c r="D41" s="16">
        <v>846</v>
      </c>
    </row>
    <row r="42" ht="15.75" customHeight="1" spans="1:4">
      <c r="A42" s="17" t="s">
        <v>62</v>
      </c>
      <c r="B42" s="17"/>
      <c r="C42" s="17"/>
      <c r="D42" s="18">
        <f>D41-D40</f>
        <v>144</v>
      </c>
    </row>
    <row r="43" ht="15.15"/>
  </sheetData>
  <mergeCells count="3">
    <mergeCell ref="A1:G1"/>
    <mergeCell ref="A41:C41"/>
    <mergeCell ref="A42:C4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VAM Solution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Badr</cp:lastModifiedBy>
  <cp:revision>0</cp:revision>
  <dcterms:created xsi:type="dcterms:W3CDTF">2026-10-22T16:42:00Z</dcterms:created>
  <dcterms:modified xsi:type="dcterms:W3CDTF">2026-10-22T18:30:15Z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DD85175BAD3E4AADBE4C69852A6C98FD_12</vt:lpwstr>
  </property>
  <property fmtid="{D5CDD505-2E9C-101B-9397-08002B2CF9AE}" pid="4" name="KSOProductBuildVer">
    <vt:lpwstr>1033-12.1.0.29162</vt:lpwstr>
  </property>
</Properties>
</file>