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500"/>
  </bookViews>
  <sheets>
    <sheet name="VAM So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<sst xmlns="http://schemas.openxmlformats.org/spreadsheetml/2006/main" count="172" uniqueCount="52">
  <si>
    <t>Smart Ambulance Allocation System - VAM Solution Sheet</t>
  </si>
  <si>
    <t>1. Model Data Matrix (Costs in minutes)</t>
  </si>
  <si>
    <t>Station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</si>
  <si>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</si>
  <si>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</si>
  <si>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</si>
  <si>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</si>
  <si>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</si>
  <si>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</si>
  <si>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</si>
  <si>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</si>
  <si>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</si>
  <si>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</si>
  <si>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</si>
  <si>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</si>
  <si>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Supply</t>
  </si>
  <si>
    <t>S1</t>
  </si>
  <si>
    <t>S2</t>
  </si>
  <si>
    <t>CLOSED</t>
  </si>
  <si>
    <t>S3</t>
  </si>
  <si>
    <t>S4</t>
  </si>
  <si>
    <t>S5</t>
  </si>
  <si>
    <t>1 (&lt;=5)</t>
  </si>
  <si>
    <t>S6</t>
  </si>
  <si>
    <t>S7</t>
  </si>
  <si>
    <t>S8</t>
  </si>
  <si>
    <t>Demand</t>
  </si>
  <si>
    <t>2. Final VAM Allocation Matrix</t>
  </si>
  <si>
    <t>-</t>
  </si>
  <si>
    <t>10 / 10</t>
  </si>
  <si>
    <t>9 / 9</t>
  </si>
  <si>
    <t>0*(ε)</t>
  </si>
  <si>
    <t>4 / 4</t>
  </si>
  <si>
    <t>6 / 6</t>
  </si>
  <si>
    <t>7 / 7</t>
  </si>
  <si>
    <t>8 / 8</t>
  </si>
  <si>
    <t>5 / 5</t>
  </si>
  <si>
    <t>12 / 12</t>
  </si>
  <si>
    <t>78 / 78</t>
  </si>
  <si>
    <t>3. Cost Breakdown</t>
  </si>
  <si>
    <t>Calculation</t>
  </si>
  <si>
    <t>Cost</t>
  </si>
  <si>
    <t>1x47 + 1x11 + 8x33</t>
  </si>
  <si>
    <t>6x6 + 4x16</t>
  </si>
  <si>
    <t>4x8 + 6x17</t>
  </si>
  <si>
    <t>7x25 + 3x13</t>
  </si>
  <si>
    <t>5x1 + 4x14</t>
  </si>
  <si>
    <t>4x17 + 6x8</t>
  </si>
  <si>
    <t>7x8 + 2x20</t>
  </si>
  <si>
    <t>4x15 + 4x34 + 2x9</t>
  </si>
  <si>
    <t>Z (VAM)</t>
  </si>
  <si>
    <t>322+100+134+214+61+116+96+214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</si>
</sst>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rgb="FF1F4E79"/>
      <name val="Calibri"/>
      <charset val="134"/>
    </font>
    <font>
      <b/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9"/>
      <color rgb="FFC00000"/>
      <name val="Calibri"/>
      <charset val="134"/>
    </font>
    <font>
      <b/>
      <sz val="9"/>
      <name val="Calibri"/>
      <charset val="134"/>
    </font>
    <font>
      <i/>
      <sz val="9"/>
      <color rgb="FF595959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4D6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8"/>
  <sheetViews>
    <sheetView tabSelected="1" workbookViewId="0">
      <selection activeCell="A2" sqref="A2"/>
    </sheetView>
  </sheetViews>
  <sheetFormatPr defaultColWidth="9" defaultRowHeight="14.4"/>
  <cols>
    <col min="1" max="1" width="14" style="1" customWidth="1"/>
    <col min="2" max="2" width="24" style="1" customWidth="1"/>
    <col min="3" max="3" width="10" style="1" customWidth="1"/>
    <col min="6" max="6" width="6" style="1" customWidth="1"/>
    <col min="7" max="8" width="14" style="1" customWidth="1"/>
    <col min="9" max="9" width="10" style="1" customWidth="1"/>
    <col min="10" max="10" width="24" style="1" customWidth="1"/>
    <col min="14" max="14" width="12" style="1" customWidth="1"/>
  </cols>
  <sheetData>
    <row r="1" ht="27.7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ht="14.25" customHeight="1" spans="1:14">
      <c r="A3" s="3" t="s">
        <v>1</v>
      </c>
    </row>
    <row r="4" ht="19.5" customHeight="1" spans="1:1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ht="18" customHeight="1" spans="1:14">
      <c r="A5" s="5" t="s">
        <v>16</v>
      </c>
      <c r="B5" s="6">
        <v>17</v>
      </c>
      <c r="C5" s="6">
        <v>24</v>
      </c>
      <c r="D5" s="6">
        <v>31</v>
      </c>
      <c r="E5" s="6">
        <v>15</v>
      </c>
      <c r="F5" s="6">
        <v>47</v>
      </c>
      <c r="G5" s="6">
        <v>43</v>
      </c>
      <c r="H5" s="6">
        <v>32</v>
      </c>
      <c r="I5" s="6">
        <v>14</v>
      </c>
      <c r="J5" s="6">
        <v>11</v>
      </c>
      <c r="K5" s="6">
        <v>42</v>
      </c>
      <c r="L5" s="6">
        <v>33</v>
      </c>
      <c r="M5" s="6">
        <v>31</v>
      </c>
      <c r="N5" s="7">
        <v>10</v>
      </c>
    </row>
    <row r="6" ht="18" customHeight="1" spans="1:14">
      <c r="A6" s="5" t="s">
        <v>17</v>
      </c>
      <c r="B6" s="6">
        <v>24</v>
      </c>
      <c r="C6" s="6">
        <v>6</v>
      </c>
      <c r="D6" s="6">
        <v>15</v>
      </c>
      <c r="E6" s="6">
        <v>33</v>
      </c>
      <c r="F6" s="6">
        <v>24</v>
      </c>
      <c r="G6" s="6">
        <v>16</v>
      </c>
      <c r="H6" s="8" t="s">
        <v>18</v>
      </c>
      <c r="I6" s="6">
        <v>20</v>
      </c>
      <c r="J6" s="6">
        <v>26</v>
      </c>
      <c r="K6" s="6">
        <v>20</v>
      </c>
      <c r="L6" s="6">
        <v>43</v>
      </c>
      <c r="M6" s="6">
        <v>28</v>
      </c>
      <c r="N6" s="7">
        <v>10</v>
      </c>
    </row>
    <row r="7" ht="18" customHeight="1" spans="1:14">
      <c r="A7" s="5" t="s">
        <v>19</v>
      </c>
      <c r="B7" s="6">
        <v>31</v>
      </c>
      <c r="C7" s="6">
        <v>34</v>
      </c>
      <c r="D7" s="6">
        <v>40</v>
      </c>
      <c r="E7" s="6">
        <v>8</v>
      </c>
      <c r="F7" s="6">
        <v>56</v>
      </c>
      <c r="G7" s="6">
        <v>53</v>
      </c>
      <c r="H7" s="6">
        <v>26</v>
      </c>
      <c r="I7" s="6">
        <v>25</v>
      </c>
      <c r="J7" s="6">
        <v>17</v>
      </c>
      <c r="K7" s="6">
        <v>47</v>
      </c>
      <c r="L7" s="6">
        <v>28</v>
      </c>
      <c r="M7" s="6">
        <v>31</v>
      </c>
      <c r="N7" s="7">
        <v>10</v>
      </c>
    </row>
    <row r="8" ht="18" customHeight="1" spans="1:14">
      <c r="A8" s="5" t="s">
        <v>20</v>
      </c>
      <c r="B8" s="6">
        <v>31</v>
      </c>
      <c r="C8" s="6">
        <v>17</v>
      </c>
      <c r="D8" s="6">
        <v>10</v>
      </c>
      <c r="E8" s="6">
        <v>28</v>
      </c>
      <c r="F8" s="6">
        <v>28</v>
      </c>
      <c r="G8" s="6">
        <v>25</v>
      </c>
      <c r="H8" s="6">
        <v>25</v>
      </c>
      <c r="I8" s="6">
        <v>13</v>
      </c>
      <c r="J8" s="6">
        <v>19</v>
      </c>
      <c r="K8" s="6">
        <v>18</v>
      </c>
      <c r="L8" s="6">
        <v>28</v>
      </c>
      <c r="M8" s="6">
        <v>13</v>
      </c>
      <c r="N8" s="7">
        <v>10</v>
      </c>
    </row>
    <row r="9" ht="18" customHeight="1" spans="1:14">
      <c r="A9" s="5" t="s">
        <v>21</v>
      </c>
      <c r="B9" s="6">
        <v>37</v>
      </c>
      <c r="C9" s="6">
        <v>25</v>
      </c>
      <c r="D9" s="6">
        <v>9</v>
      </c>
      <c r="E9" s="6">
        <v>33</v>
      </c>
      <c r="F9" s="6">
        <v>23</v>
      </c>
      <c r="G9" s="6">
        <v>26</v>
      </c>
      <c r="H9" s="6">
        <v>30</v>
      </c>
      <c r="I9" s="6">
        <v>24</v>
      </c>
      <c r="J9" s="9" t="s">
        <v>22</v>
      </c>
      <c r="K9" s="6">
        <v>13</v>
      </c>
      <c r="L9" s="6">
        <v>29</v>
      </c>
      <c r="M9" s="6">
        <v>14</v>
      </c>
      <c r="N9" s="7">
        <v>9</v>
      </c>
    </row>
    <row r="10" ht="18" customHeight="1" spans="1:14">
      <c r="A10" s="5" t="s">
        <v>23</v>
      </c>
      <c r="B10" s="6">
        <v>30</v>
      </c>
      <c r="C10" s="6">
        <v>17</v>
      </c>
      <c r="D10" s="6">
        <v>9</v>
      </c>
      <c r="E10" s="6">
        <v>38</v>
      </c>
      <c r="F10" s="6">
        <v>17</v>
      </c>
      <c r="G10" s="6">
        <v>17</v>
      </c>
      <c r="H10" s="6">
        <v>40</v>
      </c>
      <c r="I10" s="6">
        <v>25</v>
      </c>
      <c r="J10" s="6">
        <v>28</v>
      </c>
      <c r="K10" s="6">
        <v>8</v>
      </c>
      <c r="L10" s="6">
        <v>38</v>
      </c>
      <c r="M10" s="6">
        <v>22</v>
      </c>
      <c r="N10" s="7">
        <v>10</v>
      </c>
    </row>
    <row r="11" ht="18" customHeight="1" spans="1:14">
      <c r="A11" s="5" t="s">
        <v>24</v>
      </c>
      <c r="B11" s="6">
        <v>33</v>
      </c>
      <c r="C11" s="6">
        <v>22</v>
      </c>
      <c r="D11" s="6">
        <v>8</v>
      </c>
      <c r="E11" s="6">
        <v>33</v>
      </c>
      <c r="F11" s="6">
        <v>20</v>
      </c>
      <c r="G11" s="6">
        <v>20</v>
      </c>
      <c r="H11" s="6">
        <v>30</v>
      </c>
      <c r="I11" s="6">
        <v>24</v>
      </c>
      <c r="J11" s="6">
        <v>23</v>
      </c>
      <c r="K11" s="6">
        <v>12</v>
      </c>
      <c r="L11" s="6">
        <v>29</v>
      </c>
      <c r="M11" s="6">
        <v>14</v>
      </c>
      <c r="N11" s="7">
        <v>9</v>
      </c>
    </row>
    <row r="12" ht="18" customHeight="1" spans="1:14">
      <c r="A12" s="5" t="s">
        <v>25</v>
      </c>
      <c r="B12" s="6">
        <v>15</v>
      </c>
      <c r="C12" s="6">
        <v>19</v>
      </c>
      <c r="D12" s="6">
        <v>25</v>
      </c>
      <c r="E12" s="6">
        <v>21</v>
      </c>
      <c r="F12" s="6">
        <v>39</v>
      </c>
      <c r="G12" s="6">
        <v>34</v>
      </c>
      <c r="H12" s="6">
        <v>32</v>
      </c>
      <c r="I12" s="6">
        <v>9</v>
      </c>
      <c r="J12" s="6">
        <v>13</v>
      </c>
      <c r="K12" s="6">
        <v>33</v>
      </c>
      <c r="L12" s="6">
        <v>36</v>
      </c>
      <c r="M12" s="6">
        <v>26</v>
      </c>
      <c r="N12" s="7">
        <v>10</v>
      </c>
    </row>
    <row r="13" ht="18" customHeight="1" spans="1:14">
      <c r="A13" s="7" t="s">
        <v>26</v>
      </c>
      <c r="B13" s="7">
        <v>4</v>
      </c>
      <c r="C13" s="7">
        <v>6</v>
      </c>
      <c r="D13" s="7">
        <v>7</v>
      </c>
      <c r="E13" s="7">
        <v>4</v>
      </c>
      <c r="F13" s="7">
        <v>7</v>
      </c>
      <c r="G13" s="7">
        <v>8</v>
      </c>
      <c r="H13" s="7">
        <v>7</v>
      </c>
      <c r="I13" s="7">
        <v>5</v>
      </c>
      <c r="J13" s="7">
        <v>12</v>
      </c>
      <c r="K13" s="7">
        <v>6</v>
      </c>
      <c r="L13" s="7">
        <v>8</v>
      </c>
      <c r="M13" s="7">
        <v>4</v>
      </c>
      <c r="N13" s="10">
        <f>SUM(N5:N12)</f>
        <v>78</v>
      </c>
    </row>
    <row r="15" ht="14.25" customHeight="1" spans="1:14">
      <c r="A15" s="3" t="s">
        <v>27</v>
      </c>
    </row>
    <row r="16" ht="19.5" customHeight="1" spans="1:14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11</v>
      </c>
      <c r="K16" s="4" t="s">
        <v>12</v>
      </c>
      <c r="L16" s="4" t="s">
        <v>13</v>
      </c>
      <c r="M16" s="4" t="s">
        <v>14</v>
      </c>
      <c r="N16" s="4" t="s">
        <v>15</v>
      </c>
    </row>
    <row r="17" ht="18" customHeight="1" spans="1:14">
      <c r="A17" s="5" t="s">
        <v>16</v>
      </c>
      <c r="B17" s="6" t="s">
        <v>28</v>
      </c>
      <c r="C17" s="6" t="s">
        <v>28</v>
      </c>
      <c r="D17" s="6" t="s">
        <v>28</v>
      </c>
      <c r="E17" s="6" t="s">
        <v>28</v>
      </c>
      <c r="F17" s="11">
        <v>1</v>
      </c>
      <c r="G17" s="6" t="s">
        <v>28</v>
      </c>
      <c r="H17" s="6" t="s">
        <v>28</v>
      </c>
      <c r="I17" s="6" t="s">
        <v>28</v>
      </c>
      <c r="J17" s="11">
        <v>1</v>
      </c>
      <c r="K17" s="6" t="s">
        <v>28</v>
      </c>
      <c r="L17" s="11">
        <v>8</v>
      </c>
      <c r="M17" s="6" t="s">
        <v>28</v>
      </c>
      <c r="N17" s="12" t="s">
        <v>29</v>
      </c>
    </row>
    <row r="18" ht="18" customHeight="1" spans="1:14">
      <c r="A18" s="5" t="s">
        <v>17</v>
      </c>
      <c r="B18" s="6" t="s">
        <v>28</v>
      </c>
      <c r="C18" s="11">
        <v>6</v>
      </c>
      <c r="D18" s="6" t="s">
        <v>28</v>
      </c>
      <c r="E18" s="6" t="s">
        <v>28</v>
      </c>
      <c r="F18" s="6" t="s">
        <v>28</v>
      </c>
      <c r="G18" s="11">
        <v>4</v>
      </c>
      <c r="H18" s="6" t="s">
        <v>28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12" t="s">
        <v>29</v>
      </c>
    </row>
    <row r="19" ht="18" customHeight="1" spans="1:14">
      <c r="A19" s="5" t="s">
        <v>19</v>
      </c>
      <c r="B19" s="6" t="s">
        <v>28</v>
      </c>
      <c r="C19" s="6" t="s">
        <v>28</v>
      </c>
      <c r="D19" s="6" t="s">
        <v>28</v>
      </c>
      <c r="E19" s="11">
        <v>4</v>
      </c>
      <c r="F19" s="6" t="s">
        <v>28</v>
      </c>
      <c r="G19" s="6" t="s">
        <v>28</v>
      </c>
      <c r="H19" s="6" t="s">
        <v>28</v>
      </c>
      <c r="I19" s="6" t="s">
        <v>28</v>
      </c>
      <c r="J19" s="11">
        <v>6</v>
      </c>
      <c r="K19" s="6" t="s">
        <v>28</v>
      </c>
      <c r="L19" s="6" t="s">
        <v>28</v>
      </c>
      <c r="M19" s="6" t="s">
        <v>28</v>
      </c>
      <c r="N19" s="12" t="s">
        <v>29</v>
      </c>
    </row>
    <row r="20" ht="18" customHeight="1" spans="1:14">
      <c r="A20" s="5" t="s">
        <v>20</v>
      </c>
      <c r="B20" s="6" t="s">
        <v>28</v>
      </c>
      <c r="C20" s="6" t="s">
        <v>28</v>
      </c>
      <c r="D20" s="6" t="s">
        <v>28</v>
      </c>
      <c r="E20" s="6" t="s">
        <v>28</v>
      </c>
      <c r="F20" s="6" t="s">
        <v>28</v>
      </c>
      <c r="G20" s="6" t="s">
        <v>28</v>
      </c>
      <c r="H20" s="11">
        <v>7</v>
      </c>
      <c r="I20" s="11">
        <v>3</v>
      </c>
      <c r="J20" s="6" t="s">
        <v>28</v>
      </c>
      <c r="K20" s="6" t="s">
        <v>28</v>
      </c>
      <c r="L20" s="6" t="s">
        <v>28</v>
      </c>
      <c r="M20" s="6" t="s">
        <v>28</v>
      </c>
      <c r="N20" s="12" t="s">
        <v>29</v>
      </c>
    </row>
    <row r="21" ht="18" customHeight="1" spans="1:14">
      <c r="A21" s="5" t="s">
        <v>21</v>
      </c>
      <c r="B21" s="6" t="s">
        <v>28</v>
      </c>
      <c r="C21" s="6" t="s">
        <v>28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28</v>
      </c>
      <c r="I21" s="6" t="s">
        <v>28</v>
      </c>
      <c r="J21" s="11">
        <v>5</v>
      </c>
      <c r="K21" s="6" t="s">
        <v>28</v>
      </c>
      <c r="L21" s="6" t="s">
        <v>28</v>
      </c>
      <c r="M21" s="11">
        <v>4</v>
      </c>
      <c r="N21" s="12" t="s">
        <v>30</v>
      </c>
    </row>
    <row r="22" ht="18" customHeight="1" spans="1:14">
      <c r="A22" s="5" t="s">
        <v>23</v>
      </c>
      <c r="B22" s="6" t="s">
        <v>28</v>
      </c>
      <c r="C22" s="6" t="s">
        <v>28</v>
      </c>
      <c r="D22" s="6" t="s">
        <v>28</v>
      </c>
      <c r="E22" s="6" t="s">
        <v>28</v>
      </c>
      <c r="F22" s="11">
        <v>4</v>
      </c>
      <c r="G22" s="6" t="s">
        <v>28</v>
      </c>
      <c r="H22" s="6" t="s">
        <v>28</v>
      </c>
      <c r="I22" s="6" t="s">
        <v>28</v>
      </c>
      <c r="J22" s="6" t="s">
        <v>28</v>
      </c>
      <c r="K22" s="11">
        <v>6</v>
      </c>
      <c r="L22" s="6" t="s">
        <v>28</v>
      </c>
      <c r="M22" s="6" t="s">
        <v>28</v>
      </c>
      <c r="N22" s="12" t="s">
        <v>29</v>
      </c>
    </row>
    <row r="23" ht="18" customHeight="1" spans="1:14">
      <c r="A23" s="5" t="s">
        <v>24</v>
      </c>
      <c r="B23" s="6" t="s">
        <v>28</v>
      </c>
      <c r="C23" s="6" t="s">
        <v>28</v>
      </c>
      <c r="D23" s="11">
        <v>7</v>
      </c>
      <c r="E23" s="6" t="s">
        <v>28</v>
      </c>
      <c r="F23" s="11">
        <v>2</v>
      </c>
      <c r="G23" s="6" t="s">
        <v>28</v>
      </c>
      <c r="H23" s="6" t="s">
        <v>28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12" t="s">
        <v>30</v>
      </c>
    </row>
    <row r="24" ht="18" customHeight="1" spans="1:14">
      <c r="A24" s="5" t="s">
        <v>25</v>
      </c>
      <c r="B24" s="11">
        <v>4</v>
      </c>
      <c r="C24" s="6" t="s">
        <v>28</v>
      </c>
      <c r="D24" s="6" t="s">
        <v>28</v>
      </c>
      <c r="E24" s="6" t="s">
        <v>28</v>
      </c>
      <c r="F24" s="6" t="s">
        <v>28</v>
      </c>
      <c r="G24" s="11">
        <v>4</v>
      </c>
      <c r="H24" s="6" t="s">
        <v>28</v>
      </c>
      <c r="I24" s="11">
        <v>2</v>
      </c>
      <c r="J24" s="6" t="s">
        <v>31</v>
      </c>
      <c r="K24" s="6" t="s">
        <v>28</v>
      </c>
      <c r="L24" s="6" t="s">
        <v>28</v>
      </c>
      <c r="M24" s="6" t="s">
        <v>28</v>
      </c>
      <c r="N24" s="12" t="s">
        <v>29</v>
      </c>
    </row>
    <row r="25" ht="18" customHeight="1" spans="1:14">
      <c r="A25" s="7" t="s">
        <v>26</v>
      </c>
      <c r="B25" s="7" t="s">
        <v>32</v>
      </c>
      <c r="C25" s="7" t="s">
        <v>33</v>
      </c>
      <c r="D25" s="7" t="s">
        <v>34</v>
      </c>
      <c r="E25" s="7" t="s">
        <v>32</v>
      </c>
      <c r="F25" s="7" t="s">
        <v>34</v>
      </c>
      <c r="G25" s="7" t="s">
        <v>35</v>
      </c>
      <c r="H25" s="7" t="s">
        <v>34</v>
      </c>
      <c r="I25" s="7" t="s">
        <v>36</v>
      </c>
      <c r="J25" s="7" t="s">
        <v>37</v>
      </c>
      <c r="K25" s="7" t="s">
        <v>33</v>
      </c>
      <c r="L25" s="7" t="s">
        <v>35</v>
      </c>
      <c r="M25" s="7" t="s">
        <v>32</v>
      </c>
      <c r="N25" s="10" t="s">
        <v>38</v>
      </c>
    </row>
    <row r="27" ht="14.25" customHeight="1" spans="1:14">
      <c r="A27" s="3" t="s">
        <v>39</v>
      </c>
      <c r="F27" s="3"/>
    </row>
    <row r="28" ht="14.25" customHeight="1" spans="1:14">
      <c r="A28" s="4" t="s">
        <v>2</v>
      </c>
      <c r="B28" s="4" t="s">
        <v>40</v>
      </c>
      <c r="C28" s="4" t="s">
        <v>41</v>
      </c>
      <c r="F28" s="13"/>
      <c r="G28" s="13"/>
      <c r="H28" s="13"/>
      <c r="I28" s="13"/>
      <c r="J28" s="13"/>
    </row>
    <row r="29" ht="16.5" customHeight="1" spans="1:14">
      <c r="A29" s="5" t="s">
        <v>16</v>
      </c>
      <c r="B29" s="14" t="s">
        <v>42</v>
      </c>
      <c r="C29" s="15">
        <v>322</v>
      </c>
      <c r="F29" s="15"/>
      <c r="G29" s="15"/>
      <c r="H29" s="15"/>
      <c r="I29" s="15"/>
      <c r="J29" s="14"/>
    </row>
    <row r="30" ht="16.5" customHeight="1" spans="1:14">
      <c r="A30" s="5" t="s">
        <v>17</v>
      </c>
      <c r="B30" s="14" t="s">
        <v>43</v>
      </c>
      <c r="C30" s="15">
        <v>100</v>
      </c>
      <c r="F30" s="15"/>
      <c r="G30" s="15"/>
      <c r="H30" s="15"/>
      <c r="I30" s="15"/>
      <c r="J30" s="14"/>
    </row>
    <row r="31" ht="16.5" customHeight="1" spans="1:14">
      <c r="A31" s="5" t="s">
        <v>19</v>
      </c>
      <c r="B31" s="14" t="s">
        <v>44</v>
      </c>
      <c r="C31" s="15">
        <v>134</v>
      </c>
      <c r="F31" s="15"/>
      <c r="G31" s="15"/>
      <c r="H31" s="15"/>
      <c r="I31" s="15"/>
      <c r="J31" s="14"/>
    </row>
    <row r="32" ht="16.5" customHeight="1" spans="1:14">
      <c r="A32" s="5" t="s">
        <v>20</v>
      </c>
      <c r="B32" s="14" t="s">
        <v>45</v>
      </c>
      <c r="C32" s="15">
        <v>214</v>
      </c>
      <c r="F32" s="15"/>
      <c r="G32" s="15"/>
      <c r="H32" s="15"/>
      <c r="I32" s="15"/>
      <c r="J32" s="14"/>
    </row>
    <row r="33" ht="16.5" customHeight="1" spans="1:10">
      <c r="A33" s="5" t="s">
        <v>21</v>
      </c>
      <c r="B33" s="14" t="s">
        <v>46</v>
      </c>
      <c r="C33" s="15">
        <v>61</v>
      </c>
      <c r="F33" s="15"/>
      <c r="G33" s="15"/>
      <c r="H33" s="15"/>
      <c r="I33" s="15"/>
      <c r="J33" s="14"/>
    </row>
    <row r="34" ht="16.5" customHeight="1" spans="1:10">
      <c r="A34" s="5" t="s">
        <v>23</v>
      </c>
      <c r="B34" s="14" t="s">
        <v>47</v>
      </c>
      <c r="C34" s="15">
        <v>116</v>
      </c>
      <c r="F34" s="15"/>
      <c r="G34" s="15"/>
      <c r="H34" s="15"/>
      <c r="I34" s="15"/>
      <c r="J34" s="14"/>
    </row>
    <row r="35" ht="16.5" customHeight="1" spans="1:10">
      <c r="A35" s="5" t="s">
        <v>24</v>
      </c>
      <c r="B35" s="14" t="s">
        <v>48</v>
      </c>
      <c r="C35" s="15">
        <v>96</v>
      </c>
      <c r="F35" s="15"/>
      <c r="G35" s="15"/>
      <c r="H35" s="15"/>
      <c r="I35" s="15"/>
      <c r="J35" s="14"/>
    </row>
    <row r="36" ht="16.5" customHeight="1" spans="1:10">
      <c r="A36" s="5" t="s">
        <v>25</v>
      </c>
      <c r="B36" s="14" t="s">
        <v>49</v>
      </c>
      <c r="C36" s="15">
        <v>214</v>
      </c>
      <c r="F36" s="15"/>
      <c r="G36" s="15"/>
      <c r="H36" s="15"/>
      <c r="I36" s="15"/>
      <c r="J36" s="14"/>
    </row>
    <row r="37" ht="19.5" customHeight="1" spans="1:10">
      <c r="A37" s="11" t="s">
        <v>50</v>
      </c>
      <c r="B37" s="11" t="s">
        <v>51</v>
      </c>
      <c r="C37" s="11">
        <v>1257</v>
      </c>
      <c r="F37" s="15"/>
      <c r="G37" s="15"/>
      <c r="H37" s="15"/>
      <c r="I37" s="15"/>
      <c r="J37" s="14"/>
    </row>
    <row r="38" ht="14.25" customHeight="1" spans="1:10">
      <c r="F38" s="16"/>
      <c r="G38" s="16"/>
      <c r="H38" s="16"/>
      <c r="I38" s="16"/>
      <c r="J38" s="16"/>
    </row>
  </sheetData>
  <mergeCells count="2">
    <mergeCell ref="A1:N1"/>
    <mergeCell ref="F38:J38"/>
  </mergeCells>
  <pageMargins left="0.75" right="0.75" top="1" bottom="1" header="0.511811023622047" footer="0.511811023622047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VAM 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Badr</cp:lastModifiedBy>
  <cp:revision>0</cp:revision>
  <dcterms:created xsi:type="dcterms:W3CDTF">2026-10-24T21:51:00Z</dcterms:created>
  <dcterms:modified xsi:type="dcterms:W3CDTF">2026-10-24T22:32:05Z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F3E850D1D57249CFAD065AD1431C4BB3_12</vt:lpwstr>
  </property>
  <property fmtid="{D5CDD505-2E9C-101B-9397-08002B2CF9AE}" pid="4" name="KSOProductBuildVer">
    <vt:lpwstr>1033-12.1.0.29162</vt:lpwstr>
  </property>
</Properties>
</file>